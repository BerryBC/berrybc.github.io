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rry.cui\Desktop\Temp_File\20260204\"/>
    </mc:Choice>
  </mc:AlternateContent>
  <xr:revisionPtr revIDLastSave="0" documentId="13_ncr:1_{2AC849F6-A2FC-49B6-88A9-37C4E60008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M3" i="1" s="1"/>
  <c r="K4" i="1"/>
  <c r="L4" i="1"/>
  <c r="M4" i="1" s="1"/>
  <c r="K5" i="1"/>
  <c r="L5" i="1"/>
  <c r="M5" i="1" s="1"/>
  <c r="M6" i="1" l="1"/>
  <c r="I5" i="1"/>
  <c r="J5" i="1" s="1"/>
  <c r="I4" i="1"/>
  <c r="J4" i="1" s="1"/>
  <c r="I3" i="1"/>
  <c r="J3" i="1" s="1"/>
  <c r="E5" i="1"/>
  <c r="F5" i="1" s="1"/>
  <c r="E4" i="1"/>
  <c r="F4" i="1" s="1"/>
  <c r="E3" i="1"/>
  <c r="F3" i="1" s="1"/>
  <c r="F6" i="1" l="1"/>
  <c r="D6" i="1" s="1"/>
  <c r="J6" i="1"/>
  <c r="H6" i="1" l="1"/>
</calcChain>
</file>

<file path=xl/sharedStrings.xml><?xml version="1.0" encoding="utf-8"?>
<sst xmlns="http://schemas.openxmlformats.org/spreadsheetml/2006/main" count="16" uniqueCount="16">
  <si>
    <t>小区</t>
  </si>
  <si>
    <t>去年占比 (w0​)</t>
  </si>
  <si>
    <t>去年单价 (p0​)</t>
  </si>
  <si>
    <t>今年占比 (w1​)</t>
  </si>
  <si>
    <t>今年单价 (p1​)</t>
  </si>
  <si>
    <t>整体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</si>
  <si>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</si>
  <si>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</si>
  <si>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</si>
  <si>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交易面积 (q0)</t>
    <phoneticPr fontId="2" type="noConversion"/>
  </si>
  <si>
    <t>交易额 (s0)</t>
    <phoneticPr fontId="2" type="noConversion"/>
  </si>
  <si>
    <t>交易面积 (q1)</t>
    <phoneticPr fontId="2" type="noConversion"/>
  </si>
  <si>
    <t>交易额 (s1)</t>
    <phoneticPr fontId="2" type="noConversion"/>
  </si>
  <si>
    <t>权重变动 影响量</t>
    <phoneticPr fontId="2" type="noConversion"/>
  </si>
  <si>
    <t>单价变动 影响量</t>
    <phoneticPr fontId="2" type="noConversion"/>
  </si>
  <si>
    <t>对整体单价影响量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</si>
</sst>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rgb="FF1F1F1F"/>
      <name val="微软雅黑"/>
      <family val="2"/>
      <charset val="134"/>
    </font>
    <font>
      <sz val="9"/>
      <color rgb="FF1F1F1F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1" fillId="0" borderId="0" xfId="0" applyFont="1"/>
    <xf numFmtId="9" fontId="4" fillId="0" borderId="1" xfId="0" applyNumberFormat="1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1" fontId="4" fillId="0" borderId="1" xfId="0" applyNumberFormat="1" applyFont="1" applyBorder="1" applyAlignment="1">
      <alignment horizontal="right" vertical="center" wrapText="1" indent="1" readingOrder="1"/>
    </xf>
    <xf numFmtId="0" fontId="3" fillId="2" borderId="1" xfId="0" applyFont="1" applyFill="1" applyBorder="1" applyAlignment="1">
      <alignment horizontal="left" vertical="center" wrapText="1" indent="1" readingOrder="1"/>
    </xf>
    <xf numFmtId="9" fontId="4" fillId="2" borderId="1" xfId="0" applyNumberFormat="1" applyFont="1" applyFill="1" applyBorder="1" applyAlignment="1">
      <alignment horizontal="right" vertical="center" wrapText="1" indent="1" readingOrder="1"/>
    </xf>
    <xf numFmtId="0" fontId="4" fillId="2" borderId="1" xfId="0" applyFont="1" applyFill="1" applyBorder="1" applyAlignment="1">
      <alignment horizontal="right" vertical="center" wrapText="1" indent="1" readingOrder="1"/>
    </xf>
    <xf numFmtId="1" fontId="4" fillId="2" borderId="1" xfId="0" applyNumberFormat="1" applyFont="1" applyFill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/>
    <xf numFmtId="2" fontId="4" fillId="0" borderId="1" xfId="0" applyNumberFormat="1" applyFont="1" applyBorder="1" applyAlignment="1">
      <alignment horizontal="right" vertical="center" wrapText="1" indent="1" readingOrder="1"/>
    </xf>
    <xf numFmtId="2" fontId="4" fillId="2" borderId="1" xfId="0" applyNumberFormat="1" applyFont="1" applyFill="1" applyBorder="1" applyAlignment="1">
      <alignment horizontal="right" vertical="center" wrapText="1" inden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"/>
  <sheetViews>
    <sheetView showGridLines="0" tabSelected="1" workbookViewId="0">
      <selection activeCell="Q8" sqref="Q8"/>
    </sheetView>
  </sheetViews>
  <sheetFormatPr defaultRowHeight="14.25" outlineLevelCol="1" x14ac:dyDescent="0.3"/>
  <cols>
    <col min="1" max="1" width="9" style="2"/>
    <col min="2" max="2" width="9" style="2" customWidth="1"/>
    <col min="3" max="4" width="12.625" style="2" customWidth="1"/>
    <col min="5" max="6" width="12.625" style="2" hidden="1" customWidth="1" outlineLevel="1"/>
    <col min="7" max="7" width="12.625" style="2" customWidth="1" collapsed="1"/>
    <col min="8" max="8" width="12.625" style="2" customWidth="1"/>
    <col min="9" max="10" width="12.625" style="2" hidden="1" customWidth="1" outlineLevel="1"/>
    <col min="11" max="11" width="12.625" style="2" customWidth="1" collapsed="1"/>
    <col min="12" max="13" width="12.625" style="2" customWidth="1"/>
    <col min="14" max="16384" width="9" style="2"/>
  </cols>
  <sheetData>
    <row r="1" spans="2:14" ht="15" thickBot="1" x14ac:dyDescent="0.35"/>
    <row r="2" spans="2:14" s="11" customFormat="1" ht="29.25" customHeight="1" thickBot="1" x14ac:dyDescent="0.25">
      <c r="B2" s="10" t="s">
        <v>0</v>
      </c>
      <c r="C2" s="15" t="s">
        <v>1</v>
      </c>
      <c r="D2" s="15" t="s">
        <v>2</v>
      </c>
      <c r="E2" s="15" t="s">
        <v>9</v>
      </c>
      <c r="F2" s="15" t="s">
        <v>10</v>
      </c>
      <c r="G2" s="16" t="s">
        <v>3</v>
      </c>
      <c r="H2" s="16" t="s">
        <v>4</v>
      </c>
      <c r="I2" s="16" t="s">
        <v>11</v>
      </c>
      <c r="J2" s="16" t="s">
        <v>12</v>
      </c>
      <c r="K2" s="17" t="s">
        <v>13</v>
      </c>
      <c r="L2" s="17" t="s">
        <v>14</v>
      </c>
      <c r="M2" s="18" t="s">
        <v>15</v>
      </c>
    </row>
    <row r="3" spans="2:14" ht="15" thickBot="1" x14ac:dyDescent="0.35">
      <c r="B3" s="1" t="s">
        <v>6</v>
      </c>
      <c r="C3" s="3">
        <v>0.2</v>
      </c>
      <c r="D3" s="4">
        <v>6</v>
      </c>
      <c r="E3" s="4">
        <f>C3*$E$6</f>
        <v>20</v>
      </c>
      <c r="F3" s="4">
        <f>E3*D3</f>
        <v>120</v>
      </c>
      <c r="G3" s="3">
        <v>0.1</v>
      </c>
      <c r="H3" s="4">
        <v>6.2</v>
      </c>
      <c r="I3" s="4">
        <f>G3*$I$6</f>
        <v>8</v>
      </c>
      <c r="J3" s="5">
        <f>I3*H3</f>
        <v>49.6</v>
      </c>
      <c r="K3" s="13">
        <f>(G3-C3)*D3</f>
        <v>-0.60000000000000009</v>
      </c>
      <c r="L3" s="13">
        <f>(H3-D3)*G3</f>
        <v>2.0000000000000018E-2</v>
      </c>
      <c r="M3" s="13">
        <f>K3+L3</f>
        <v>-0.58000000000000007</v>
      </c>
      <c r="N3" s="12"/>
    </row>
    <row r="4" spans="2:14" ht="15" thickBot="1" x14ac:dyDescent="0.35">
      <c r="B4" s="1" t="s">
        <v>7</v>
      </c>
      <c r="C4" s="3">
        <v>0.5</v>
      </c>
      <c r="D4" s="4">
        <v>3.5</v>
      </c>
      <c r="E4" s="4">
        <f t="shared" ref="E4:E5" si="0">C4*$E$6</f>
        <v>50</v>
      </c>
      <c r="F4" s="4">
        <f t="shared" ref="F4:F5" si="1">E4*D4</f>
        <v>175</v>
      </c>
      <c r="G4" s="3">
        <v>0.5</v>
      </c>
      <c r="H4" s="4">
        <v>3.6</v>
      </c>
      <c r="I4" s="4">
        <f t="shared" ref="I4:I5" si="2">G4*$I$6</f>
        <v>40</v>
      </c>
      <c r="J4" s="5">
        <f t="shared" ref="J4:J5" si="3">I4*H4</f>
        <v>144</v>
      </c>
      <c r="K4" s="13">
        <f>(G4-C4)*D4</f>
        <v>0</v>
      </c>
      <c r="L4" s="13">
        <f>(H4-D4)*G4</f>
        <v>5.0000000000000044E-2</v>
      </c>
      <c r="M4" s="13">
        <f t="shared" ref="M4:M5" si="4">K4+L4</f>
        <v>5.0000000000000044E-2</v>
      </c>
      <c r="N4" s="12"/>
    </row>
    <row r="5" spans="2:14" ht="15" thickBot="1" x14ac:dyDescent="0.35">
      <c r="B5" s="1" t="s">
        <v>8</v>
      </c>
      <c r="C5" s="3">
        <v>0.3</v>
      </c>
      <c r="D5" s="4">
        <v>2</v>
      </c>
      <c r="E5" s="4">
        <f t="shared" si="0"/>
        <v>30</v>
      </c>
      <c r="F5" s="4">
        <f t="shared" si="1"/>
        <v>60</v>
      </c>
      <c r="G5" s="3">
        <v>0.4</v>
      </c>
      <c r="H5" s="4">
        <v>2.2000000000000002</v>
      </c>
      <c r="I5" s="4">
        <f t="shared" si="2"/>
        <v>32</v>
      </c>
      <c r="J5" s="5">
        <f t="shared" si="3"/>
        <v>70.400000000000006</v>
      </c>
      <c r="K5" s="13">
        <f>(G5-C5)*D5</f>
        <v>0.20000000000000007</v>
      </c>
      <c r="L5" s="13">
        <f>(H5-D5)*G5</f>
        <v>8.0000000000000071E-2</v>
      </c>
      <c r="M5" s="13">
        <f t="shared" si="4"/>
        <v>0.28000000000000014</v>
      </c>
      <c r="N5" s="12"/>
    </row>
    <row r="6" spans="2:14" ht="15" thickBot="1" x14ac:dyDescent="0.35">
      <c r="B6" s="6" t="s">
        <v>5</v>
      </c>
      <c r="C6" s="7">
        <v>1</v>
      </c>
      <c r="D6" s="8">
        <f>F6/E6</f>
        <v>3.55</v>
      </c>
      <c r="E6" s="8">
        <v>100</v>
      </c>
      <c r="F6" s="8">
        <f>SUM(F3:F5)</f>
        <v>355</v>
      </c>
      <c r="G6" s="7">
        <v>1</v>
      </c>
      <c r="H6" s="8">
        <f>J6/I6</f>
        <v>3.3</v>
      </c>
      <c r="I6" s="8">
        <v>80</v>
      </c>
      <c r="J6" s="9">
        <f>SUM(J3:J5)</f>
        <v>264</v>
      </c>
      <c r="K6" s="14"/>
      <c r="L6" s="14"/>
      <c r="M6" s="14">
        <f>SUM(M3:M5)</f>
        <v>-0.24999999999999989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 Cui 崔秉龙(WTCCN HO Data Lab &amp; Product-Business Intelligence - Data Lab &amp; Product Manager)</dc:creator>
  <cp:lastModifiedBy>Berry Cui 崔秉龙(WTCCN HO Data Lab &amp; Product-Business Int</cp:lastModifiedBy>
  <dcterms:created xsi:type="dcterms:W3CDTF">2015-06-05T18:19:34Z</dcterms:created>
  <dcterms:modified xsi:type="dcterms:W3CDTF">2026-02-04T09:53:25Z</dcterms:modified>
</cp:coreProperties>
</file>